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hidePivotFieldList="1"/>
  <mc:AlternateContent xmlns:mc="http://schemas.openxmlformats.org/markup-compatibility/2006">
    <mc:Choice Requires="x15">
      <x15ac:absPath xmlns:x15ac="http://schemas.microsoft.com/office/spreadsheetml/2010/11/ac" url="/Users/ayush/Desktop/"/>
    </mc:Choice>
  </mc:AlternateContent>
  <xr:revisionPtr revIDLastSave="0" documentId="8_{4A5E002B-84C9-2045-B86B-898ABF11BA69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machines" sheetId="1" r:id="rId1"/>
    <sheet name="pivot sheet" sheetId="4" r:id="rId2"/>
    <sheet name="Dashboard" sheetId="7" r:id="rId3"/>
  </sheet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E4" i="7"/>
  <c r="B4" i="7"/>
  <c r="A4" i="7"/>
  <c r="C4" i="7" s="1"/>
  <c r="J3" i="1"/>
  <c r="J4" i="1"/>
  <c r="J5" i="1"/>
  <c r="J6" i="1"/>
  <c r="J7" i="1"/>
  <c r="J8" i="1"/>
  <c r="J9" i="1"/>
  <c r="J10" i="1"/>
  <c r="J11" i="1"/>
  <c r="J2" i="1"/>
  <c r="C5" i="4"/>
  <c r="C6" i="4"/>
  <c r="C7" i="4"/>
  <c r="C8" i="4"/>
  <c r="C9" i="4"/>
  <c r="C10" i="4"/>
  <c r="C4" i="4"/>
  <c r="H3" i="1"/>
  <c r="H4" i="1"/>
  <c r="H5" i="1"/>
  <c r="H6" i="1"/>
  <c r="H7" i="1"/>
  <c r="H8" i="1"/>
  <c r="H9" i="1"/>
  <c r="H10" i="1"/>
  <c r="H11" i="1"/>
  <c r="H2" i="1"/>
  <c r="G5" i="1"/>
  <c r="G8" i="1"/>
  <c r="G9" i="1"/>
  <c r="G10" i="1"/>
  <c r="B17" i="1"/>
  <c r="B16" i="1"/>
  <c r="B15" i="1"/>
  <c r="B14" i="1"/>
  <c r="F3" i="1"/>
  <c r="G3" i="1" s="1"/>
  <c r="F4" i="1"/>
  <c r="G4" i="1" s="1"/>
  <c r="F5" i="1"/>
  <c r="F6" i="1"/>
  <c r="G6" i="1" s="1"/>
  <c r="F7" i="1"/>
  <c r="G7" i="1" s="1"/>
  <c r="F8" i="1"/>
  <c r="F9" i="1"/>
  <c r="F10" i="1"/>
  <c r="F11" i="1"/>
  <c r="G11" i="1" s="1"/>
  <c r="F2" i="1"/>
  <c r="G2" i="1" s="1"/>
  <c r="B18" i="1" l="1"/>
  <c r="B19" i="1"/>
  <c r="B13" i="1"/>
  <c r="B20" i="1" l="1"/>
</calcChain>
</file>

<file path=xl/sharedStrings.xml><?xml version="1.0" encoding="utf-8"?>
<sst xmlns="http://schemas.openxmlformats.org/spreadsheetml/2006/main" count="62" uniqueCount="43">
  <si>
    <t>machine</t>
  </si>
  <si>
    <t>type</t>
  </si>
  <si>
    <t>power_kw</t>
  </si>
  <si>
    <t>hours</t>
  </si>
  <si>
    <t>temp_c</t>
  </si>
  <si>
    <t>Compressor A</t>
  </si>
  <si>
    <t>compressor</t>
  </si>
  <si>
    <t>Pump B</t>
  </si>
  <si>
    <t>pump</t>
  </si>
  <si>
    <t>Fan C</t>
  </si>
  <si>
    <t>fan</t>
  </si>
  <si>
    <t>Drill D</t>
  </si>
  <si>
    <t>drill</t>
  </si>
  <si>
    <t>Oven E</t>
  </si>
  <si>
    <t>oven</t>
  </si>
  <si>
    <t>Chiller F</t>
  </si>
  <si>
    <t>chiller</t>
  </si>
  <si>
    <t>Pump G</t>
  </si>
  <si>
    <t>Fan H</t>
  </si>
  <si>
    <t>Compressor I</t>
  </si>
  <si>
    <t>Oven J</t>
  </si>
  <si>
    <t>daily_kwh</t>
  </si>
  <si>
    <t>yearly_cost_eur</t>
  </si>
  <si>
    <t>Total yearly cost</t>
  </si>
  <si>
    <t>Average temp</t>
  </si>
  <si>
    <t>Median temp</t>
  </si>
  <si>
    <t>Max temp</t>
  </si>
  <si>
    <t>Min temp</t>
  </si>
  <si>
    <t>price_eur_kwh</t>
  </si>
  <si>
    <t>status</t>
  </si>
  <si>
    <t>Overheating machines</t>
  </si>
  <si>
    <t>Overheating cost</t>
  </si>
  <si>
    <t>Overheating share</t>
  </si>
  <si>
    <t>Row Labels</t>
  </si>
  <si>
    <t>Grand Total</t>
  </si>
  <si>
    <t>Sum of yearly_cost_eur</t>
  </si>
  <si>
    <t>share</t>
  </si>
  <si>
    <t>repair_cost</t>
  </si>
  <si>
    <t>Factory Energy &amp; Maintenance Dashboard</t>
  </si>
  <si>
    <t>yearly energy cost (EUR)</t>
  </si>
  <si>
    <t>Overheating share of cost</t>
  </si>
  <si>
    <t>Total repair cost (EUR)</t>
  </si>
  <si>
    <t>Machines never repaired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</si>
</sst>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5" fillId="0" borderId="0" xfId="0" applyFont="1"/>
    <xf numFmtId="9" fontId="5" fillId="0" borderId="0" xfId="0" applyNumberFormat="1" applyFont="1"/>
    <xf numFmtId="0" fontId="0" fillId="3" borderId="0" xfId="0" applyFill="1"/>
    <xf numFmtId="176" fontId="5" fillId="0" borderId="0" xfId="1" applyNumberFormat="1" applyFont="1"/>
    <xf numFmtId="0" fontId="4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[Factory_Excel_Practice.xlsx]pivot sheet!PivotTable2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Compressors</a:t>
            </a:r>
            <a:r>
              <a:rPr lang="en-GB" baseline="0"/>
              <a:t> drive 44% of energy cost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sheet'!$A$4:$A$10</c:f>
              <c:strCache>
                <c:ptCount val="6"/>
                <c:pt idx="0">
                  <c:v>compressor</c:v>
                </c:pt>
                <c:pt idx="1">
                  <c:v>pump</c:v>
                </c:pt>
                <c:pt idx="2">
                  <c:v>oven</c:v>
                </c:pt>
                <c:pt idx="3">
                  <c:v>chiller</c:v>
                </c:pt>
                <c:pt idx="4">
                  <c:v>fan</c:v>
                </c:pt>
                <c:pt idx="5">
                  <c:v>drill</c:v>
                </c:pt>
              </c:strCache>
            </c:strRef>
          </c:cat>
          <c:val>
            <c:numRef>
              <c:f>'pivot sheet'!$B$4:$B$10</c:f>
              <c:numCache>
                <c:formatCode>General</c:formatCode>
                <c:ptCount val="6"/>
                <c:pt idx="0">
                  <c:v>14691.25</c:v>
                </c:pt>
                <c:pt idx="1">
                  <c:v>6413.05</c:v>
                </c:pt>
                <c:pt idx="2">
                  <c:v>6132</c:v>
                </c:pt>
                <c:pt idx="3">
                  <c:v>4905.6000000000004</c:v>
                </c:pt>
                <c:pt idx="4">
                  <c:v>983.67499999999973</c:v>
                </c:pt>
                <c:pt idx="5">
                  <c:v>510.99999999999994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E-9D42-9DE0-90FDFE971E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2341952"/>
        <c:axId val="622339264"/>
      </c:barChart>
      <c:catAx>
        <c:axId val="6223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39264"/>
        <c:crosses val="autoZero"/>
        <c:auto val="1"/>
        <c:lblAlgn val="ctr"/>
        <c:lblOffset val="100"/>
        <c:noMultiLvlLbl val="0"/>
      </c:catAx>
      <c:valAx>
        <c:axId val="62233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EUR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4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[Factory_Excel_Practice.xlsx]pivot sheet!PivotTable2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Compressors</a:t>
            </a:r>
            <a:r>
              <a:rPr lang="en-GB" baseline="0"/>
              <a:t> drive 44% of energy cost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sheet'!$A$4:$A$10</c:f>
              <c:strCache>
                <c:ptCount val="6"/>
                <c:pt idx="0">
                  <c:v>compressor</c:v>
                </c:pt>
                <c:pt idx="1">
                  <c:v>pump</c:v>
                </c:pt>
                <c:pt idx="2">
                  <c:v>oven</c:v>
                </c:pt>
                <c:pt idx="3">
                  <c:v>chiller</c:v>
                </c:pt>
                <c:pt idx="4">
                  <c:v>fan</c:v>
                </c:pt>
                <c:pt idx="5">
                  <c:v>drill</c:v>
                </c:pt>
              </c:strCache>
            </c:strRef>
          </c:cat>
          <c:val>
            <c:numRef>
              <c:f>'pivot sheet'!$B$4:$B$10</c:f>
              <c:numCache>
                <c:formatCode>General</c:formatCode>
                <c:ptCount val="6"/>
                <c:pt idx="0">
                  <c:v>14691.25</c:v>
                </c:pt>
                <c:pt idx="1">
                  <c:v>6413.05</c:v>
                </c:pt>
                <c:pt idx="2">
                  <c:v>6132</c:v>
                </c:pt>
                <c:pt idx="3">
                  <c:v>4905.6000000000004</c:v>
                </c:pt>
                <c:pt idx="4">
                  <c:v>983.67499999999973</c:v>
                </c:pt>
                <c:pt idx="5">
                  <c:v>510.99999999999994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8-2A40-ACCF-A49D82950C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2341952"/>
        <c:axId val="622339264"/>
      </c:barChart>
      <c:catAx>
        <c:axId val="6223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39264"/>
        <c:crosses val="autoZero"/>
        <c:auto val="1"/>
        <c:lblAlgn val="ctr"/>
        <c:lblOffset val="100"/>
        <c:noMultiLvlLbl val="0"/>
      </c:catAx>
      <c:valAx>
        <c:axId val="62233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EUR per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34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13</xdr:row>
      <xdr:rowOff>38100</xdr:rowOff>
    </xdr:from>
    <xdr:to>
      <xdr:col>7</xdr:col>
      <xdr:colOff>584200</xdr:colOff>
      <xdr:row>27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B8F1EF-414A-C24E-AEEE-AEF598CDF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5</xdr:col>
      <xdr:colOff>177800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671916-77C2-F849-A077-0A5C7A2A4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" refreshedDate="46307.985924768516" createdVersion="8" refreshedVersion="8" minRefreshableVersion="3" recordCount="10" xr:uid="{9C6FDF10-7981-E54F-AE6E-48D511DEB1BC}">
  <cacheSource type="worksheet">
    <worksheetSource ref="A1:I11" sheet="machines"/>
  </cacheSource>
  <cacheFields count="9">
    <cacheField name="machine" numFmtId="0">
      <sharedItems/>
    </cacheField>
    <cacheField name="type" numFmtId="0">
      <sharedItems count="6">
        <s v="compressor"/>
        <s v="pump"/>
        <s v="fan"/>
        <s v="drill"/>
        <s v="oven"/>
        <s v="chiller"/>
      </sharedItems>
    </cacheField>
    <cacheField name="power_kw" numFmtId="0">
      <sharedItems containsSemiMixedTypes="0" containsString="0" containsNumber="1" minValue="0.1" maxValue="7.5"/>
    </cacheField>
    <cacheField name="hours" numFmtId="0">
      <sharedItems containsSemiMixedTypes="0" containsString="0" containsNumber="1" containsInteger="1" minValue="4" maxValue="24"/>
    </cacheField>
    <cacheField name="temp_c" numFmtId="0">
      <sharedItems containsSemiMixedTypes="0" containsString="0" containsNumber="1" containsInteger="1" minValue="20" maxValue="97"/>
    </cacheField>
    <cacheField name="daily_kwh" numFmtId="0">
      <sharedItems containsSemiMixedTypes="0" containsString="0" containsNumber="1" minValue="0.5" maxValue="60"/>
    </cacheField>
    <cacheField name="yearly_cost_eur" numFmtId="0">
      <sharedItems containsSemiMixedTypes="0" containsString="0" containsNumber="1" minValue="63.874999999999993" maxValue="7664.9999999999991"/>
    </cacheField>
    <cacheField name="status" numFmtId="0">
      <sharedItems/>
    </cacheField>
    <cacheField name="price_eur_kwh" numFmtId="0">
      <sharedItems containsString="0" containsBlank="1" containsNumber="1" minValue="0.35" maxValue="0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Compressor A"/>
    <x v="0"/>
    <n v="7.5"/>
    <n v="8"/>
    <n v="95"/>
    <n v="60"/>
    <n v="7664.9999999999991"/>
    <s v="Overheating"/>
    <n v="0.35"/>
  </r>
  <r>
    <s v="Pump B"/>
    <x v="1"/>
    <n v="1.5"/>
    <n v="10"/>
    <n v="60"/>
    <n v="15"/>
    <n v="1916.2499999999998"/>
    <s v="Ok"/>
    <m/>
  </r>
  <r>
    <s v="Fan C"/>
    <x v="2"/>
    <n v="0.1"/>
    <n v="5"/>
    <n v="20"/>
    <n v="0.5"/>
    <n v="63.874999999999993"/>
    <s v="Ok"/>
    <m/>
  </r>
  <r>
    <s v="Drill D"/>
    <x v="3"/>
    <n v="0.5"/>
    <n v="8"/>
    <n v="50"/>
    <n v="4"/>
    <n v="510.99999999999994"/>
    <s v="Ok"/>
    <m/>
  </r>
  <r>
    <s v="Oven E"/>
    <x v="4"/>
    <n v="4"/>
    <n v="6"/>
    <n v="88"/>
    <n v="24"/>
    <n v="3066"/>
    <s v="Ok"/>
    <m/>
  </r>
  <r>
    <s v="Chiller F"/>
    <x v="5"/>
    <n v="3.2"/>
    <n v="12"/>
    <n v="92"/>
    <n v="38.400000000000006"/>
    <n v="4905.6000000000004"/>
    <s v="Overheating"/>
    <m/>
  </r>
  <r>
    <s v="Pump G"/>
    <x v="1"/>
    <n v="2.2000000000000002"/>
    <n v="16"/>
    <n v="71"/>
    <n v="35.200000000000003"/>
    <n v="4496.8"/>
    <s v="Ok"/>
    <m/>
  </r>
  <r>
    <s v="Fan H"/>
    <x v="2"/>
    <n v="0.3"/>
    <n v="24"/>
    <n v="35"/>
    <n v="7.1999999999999993"/>
    <n v="919.79999999999973"/>
    <s v="Ok"/>
    <m/>
  </r>
  <r>
    <s v="Compressor I"/>
    <x v="0"/>
    <n v="5.5"/>
    <n v="10"/>
    <n v="83"/>
    <n v="55"/>
    <n v="7026.25"/>
    <s v="Ok"/>
    <m/>
  </r>
  <r>
    <s v="Oven J"/>
    <x v="4"/>
    <n v="6"/>
    <n v="4"/>
    <n v="97"/>
    <n v="24"/>
    <n v="3066"/>
    <s v="Overheating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C5F73-DB01-9D48-900E-2BBF9E55CAF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9">
    <pivotField showAll="0"/>
    <pivotField axis="axisRow" showAll="0" sortType="descending">
      <items count="7">
        <item x="5"/>
        <item x="0"/>
        <item x="3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 v="1"/>
    </i>
    <i>
      <x v="5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yearly_cost_eur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opLeftCell="C5" workbookViewId="0">
      <selection activeCell="G27" sqref="G27"/>
    </sheetView>
  </sheetViews>
  <sheetFormatPr baseColWidth="10" defaultColWidth="8.83203125" defaultRowHeight="15" x14ac:dyDescent="0.2"/>
  <cols>
    <col min="1" max="1" width="18" bestFit="1" customWidth="1"/>
    <col min="2" max="2" width="13" customWidth="1"/>
    <col min="3" max="3" width="11" customWidth="1"/>
    <col min="4" max="5" width="9" customWidth="1"/>
    <col min="6" max="6" width="13" customWidth="1"/>
    <col min="7" max="7" width="17" customWidth="1"/>
    <col min="8" max="8" width="11.33203125" bestFit="1" customWidth="1"/>
    <col min="9" max="9" width="12.6640625" bestFit="1" customWidth="1"/>
    <col min="10" max="10" width="9.83203125" bestFit="1" customWidth="1"/>
    <col min="11" max="11" width="11.5" bestFit="1" customWidth="1"/>
    <col min="12" max="12" width="9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21</v>
      </c>
      <c r="G1" s="2" t="s">
        <v>22</v>
      </c>
      <c r="H1" s="2" t="s">
        <v>29</v>
      </c>
      <c r="I1" s="2" t="s">
        <v>28</v>
      </c>
      <c r="J1" s="2" t="s">
        <v>37</v>
      </c>
      <c r="K1" s="2" t="s">
        <v>0</v>
      </c>
      <c r="L1" s="2" t="s">
        <v>37</v>
      </c>
    </row>
    <row r="2" spans="1:12" x14ac:dyDescent="0.2">
      <c r="A2" t="s">
        <v>5</v>
      </c>
      <c r="B2" t="s">
        <v>6</v>
      </c>
      <c r="C2">
        <v>7.5</v>
      </c>
      <c r="D2">
        <v>8</v>
      </c>
      <c r="E2">
        <v>95</v>
      </c>
      <c r="F2">
        <f>C2*D2</f>
        <v>60</v>
      </c>
      <c r="G2">
        <f>F2*365*$I$2</f>
        <v>7664.9999999999991</v>
      </c>
      <c r="H2" t="str">
        <f>IF(E2&gt;90, "Overheating", "Ok")</f>
        <v>Overheating</v>
      </c>
      <c r="I2">
        <v>0.35</v>
      </c>
      <c r="J2">
        <f>_xlfn.XLOOKUP(A2, $K$2:$K$7, $L$2:$L$7,0)</f>
        <v>1070</v>
      </c>
      <c r="K2" t="s">
        <v>20</v>
      </c>
      <c r="L2">
        <v>680</v>
      </c>
    </row>
    <row r="3" spans="1:12" x14ac:dyDescent="0.2">
      <c r="A3" t="s">
        <v>7</v>
      </c>
      <c r="B3" t="s">
        <v>8</v>
      </c>
      <c r="C3">
        <v>1.5</v>
      </c>
      <c r="D3">
        <v>10</v>
      </c>
      <c r="E3">
        <v>60</v>
      </c>
      <c r="F3">
        <f t="shared" ref="F3:F11" si="0">C3*D3</f>
        <v>15</v>
      </c>
      <c r="G3">
        <f t="shared" ref="G3:G11" si="1">F3*365*$I$2</f>
        <v>1916.2499999999998</v>
      </c>
      <c r="H3" t="str">
        <f t="shared" ref="H3:H11" si="2">IF(E3&gt;90, "Overheating", "Ok")</f>
        <v>Ok</v>
      </c>
      <c r="J3">
        <f t="shared" ref="J3:J11" si="3">_xlfn.XLOOKUP(A3, $K$2:$K$7, $L$2:$L$7,0)</f>
        <v>0</v>
      </c>
      <c r="K3" t="s">
        <v>15</v>
      </c>
      <c r="L3">
        <v>900</v>
      </c>
    </row>
    <row r="4" spans="1:12" x14ac:dyDescent="0.2">
      <c r="A4" t="s">
        <v>9</v>
      </c>
      <c r="B4" t="s">
        <v>10</v>
      </c>
      <c r="C4">
        <v>0.1</v>
      </c>
      <c r="D4">
        <v>5</v>
      </c>
      <c r="E4">
        <v>20</v>
      </c>
      <c r="F4">
        <f t="shared" si="0"/>
        <v>0.5</v>
      </c>
      <c r="G4">
        <f t="shared" si="1"/>
        <v>63.874999999999993</v>
      </c>
      <c r="H4" t="str">
        <f t="shared" si="2"/>
        <v>Ok</v>
      </c>
      <c r="J4">
        <f t="shared" si="3"/>
        <v>0</v>
      </c>
      <c r="K4" t="s">
        <v>5</v>
      </c>
      <c r="L4">
        <v>1070</v>
      </c>
    </row>
    <row r="5" spans="1:12" x14ac:dyDescent="0.2">
      <c r="A5" t="s">
        <v>11</v>
      </c>
      <c r="B5" t="s">
        <v>12</v>
      </c>
      <c r="C5">
        <v>0.5</v>
      </c>
      <c r="D5">
        <v>8</v>
      </c>
      <c r="E5">
        <v>50</v>
      </c>
      <c r="F5">
        <f t="shared" si="0"/>
        <v>4</v>
      </c>
      <c r="G5">
        <f t="shared" si="1"/>
        <v>510.99999999999994</v>
      </c>
      <c r="H5" t="str">
        <f t="shared" si="2"/>
        <v>Ok</v>
      </c>
      <c r="J5">
        <f t="shared" si="3"/>
        <v>0</v>
      </c>
      <c r="K5" t="s">
        <v>18</v>
      </c>
      <c r="L5">
        <v>90</v>
      </c>
    </row>
    <row r="6" spans="1:12" x14ac:dyDescent="0.2">
      <c r="A6" t="s">
        <v>13</v>
      </c>
      <c r="B6" t="s">
        <v>14</v>
      </c>
      <c r="C6">
        <v>4</v>
      </c>
      <c r="D6">
        <v>6</v>
      </c>
      <c r="E6">
        <v>88</v>
      </c>
      <c r="F6">
        <f t="shared" si="0"/>
        <v>24</v>
      </c>
      <c r="G6">
        <f t="shared" si="1"/>
        <v>3066</v>
      </c>
      <c r="H6" t="str">
        <f t="shared" si="2"/>
        <v>Ok</v>
      </c>
      <c r="J6">
        <f t="shared" si="3"/>
        <v>0</v>
      </c>
      <c r="K6" t="s">
        <v>19</v>
      </c>
      <c r="L6">
        <v>540</v>
      </c>
    </row>
    <row r="7" spans="1:12" x14ac:dyDescent="0.2">
      <c r="A7" t="s">
        <v>15</v>
      </c>
      <c r="B7" t="s">
        <v>16</v>
      </c>
      <c r="C7">
        <v>3.2</v>
      </c>
      <c r="D7">
        <v>12</v>
      </c>
      <c r="E7">
        <v>92</v>
      </c>
      <c r="F7">
        <f t="shared" si="0"/>
        <v>38.400000000000006</v>
      </c>
      <c r="G7">
        <f t="shared" si="1"/>
        <v>4905.6000000000004</v>
      </c>
      <c r="H7" t="str">
        <f t="shared" si="2"/>
        <v>Overheating</v>
      </c>
      <c r="J7">
        <f t="shared" si="3"/>
        <v>900</v>
      </c>
      <c r="K7" t="s">
        <v>17</v>
      </c>
      <c r="L7">
        <v>210</v>
      </c>
    </row>
    <row r="8" spans="1:12" x14ac:dyDescent="0.2">
      <c r="A8" t="s">
        <v>17</v>
      </c>
      <c r="B8" t="s">
        <v>8</v>
      </c>
      <c r="C8">
        <v>2.2000000000000002</v>
      </c>
      <c r="D8">
        <v>16</v>
      </c>
      <c r="E8">
        <v>71</v>
      </c>
      <c r="F8">
        <f t="shared" si="0"/>
        <v>35.200000000000003</v>
      </c>
      <c r="G8">
        <f t="shared" si="1"/>
        <v>4496.8</v>
      </c>
      <c r="H8" t="str">
        <f t="shared" si="2"/>
        <v>Ok</v>
      </c>
      <c r="J8">
        <f t="shared" si="3"/>
        <v>210</v>
      </c>
    </row>
    <row r="9" spans="1:12" x14ac:dyDescent="0.2">
      <c r="A9" t="s">
        <v>18</v>
      </c>
      <c r="B9" t="s">
        <v>10</v>
      </c>
      <c r="C9">
        <v>0.3</v>
      </c>
      <c r="D9">
        <v>24</v>
      </c>
      <c r="E9">
        <v>35</v>
      </c>
      <c r="F9">
        <f t="shared" si="0"/>
        <v>7.1999999999999993</v>
      </c>
      <c r="G9">
        <f t="shared" si="1"/>
        <v>919.79999999999973</v>
      </c>
      <c r="H9" t="str">
        <f t="shared" si="2"/>
        <v>Ok</v>
      </c>
      <c r="J9">
        <f t="shared" si="3"/>
        <v>90</v>
      </c>
    </row>
    <row r="10" spans="1:12" x14ac:dyDescent="0.2">
      <c r="A10" t="s">
        <v>19</v>
      </c>
      <c r="B10" t="s">
        <v>6</v>
      </c>
      <c r="C10">
        <v>5.5</v>
      </c>
      <c r="D10">
        <v>10</v>
      </c>
      <c r="E10">
        <v>83</v>
      </c>
      <c r="F10">
        <f t="shared" si="0"/>
        <v>55</v>
      </c>
      <c r="G10">
        <f t="shared" si="1"/>
        <v>7026.25</v>
      </c>
      <c r="H10" t="str">
        <f t="shared" si="2"/>
        <v>Ok</v>
      </c>
      <c r="J10">
        <f t="shared" si="3"/>
        <v>540</v>
      </c>
    </row>
    <row r="11" spans="1:12" x14ac:dyDescent="0.2">
      <c r="A11" t="s">
        <v>20</v>
      </c>
      <c r="B11" t="s">
        <v>14</v>
      </c>
      <c r="C11">
        <v>6</v>
      </c>
      <c r="D11">
        <v>4</v>
      </c>
      <c r="E11">
        <v>97</v>
      </c>
      <c r="F11">
        <f t="shared" si="0"/>
        <v>24</v>
      </c>
      <c r="G11">
        <f t="shared" si="1"/>
        <v>3066</v>
      </c>
      <c r="H11" t="str">
        <f t="shared" si="2"/>
        <v>Overheating</v>
      </c>
      <c r="J11">
        <f t="shared" si="3"/>
        <v>680</v>
      </c>
    </row>
    <row r="13" spans="1:12" x14ac:dyDescent="0.2">
      <c r="A13" t="s">
        <v>23</v>
      </c>
      <c r="B13">
        <f>SUM(G2:G11)</f>
        <v>33636.574999999997</v>
      </c>
    </row>
    <row r="14" spans="1:12" x14ac:dyDescent="0.2">
      <c r="A14" t="s">
        <v>24</v>
      </c>
      <c r="B14">
        <f>AVERAGE(E2:E11)</f>
        <v>69.099999999999994</v>
      </c>
    </row>
    <row r="15" spans="1:12" x14ac:dyDescent="0.2">
      <c r="A15" t="s">
        <v>25</v>
      </c>
      <c r="B15">
        <f>MEDIAN(E2:E11)</f>
        <v>77</v>
      </c>
    </row>
    <row r="16" spans="1:12" x14ac:dyDescent="0.2">
      <c r="A16" t="s">
        <v>26</v>
      </c>
      <c r="B16">
        <f>MAX(E2:E11)</f>
        <v>97</v>
      </c>
    </row>
    <row r="17" spans="1:2" x14ac:dyDescent="0.2">
      <c r="A17" t="s">
        <v>27</v>
      </c>
      <c r="B17">
        <f>MIN(E2:E11)</f>
        <v>20</v>
      </c>
    </row>
    <row r="18" spans="1:2" x14ac:dyDescent="0.2">
      <c r="A18" t="s">
        <v>30</v>
      </c>
      <c r="B18">
        <f>COUNTIF(H2:H11, "Overheating")</f>
        <v>3</v>
      </c>
    </row>
    <row r="19" spans="1:2" x14ac:dyDescent="0.2">
      <c r="A19" t="s">
        <v>31</v>
      </c>
      <c r="B19">
        <f>SUMIF(H2:H11, "Overheating", G2:G11)</f>
        <v>15636.599999999999</v>
      </c>
    </row>
    <row r="20" spans="1:2" x14ac:dyDescent="0.2">
      <c r="A20" t="s">
        <v>32</v>
      </c>
      <c r="B20" s="4">
        <f>B19/B13%</f>
        <v>46.486897075579186</v>
      </c>
    </row>
  </sheetData>
  <conditionalFormatting sqref="E2">
    <cfRule type="cellIs" dxfId="1" priority="3" operator="greaterThan">
      <formula>90</formula>
    </cfRule>
  </conditionalFormatting>
  <conditionalFormatting sqref="E2:E13">
    <cfRule type="cellIs" dxfId="0" priority="2" operator="greaterThan">
      <formula>90</formula>
    </cfRule>
  </conditionalFormatting>
  <conditionalFormatting sqref="J2:J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{907A59E1-DE74-EA4A-A997-E993EB72EEC1}</x14:id>
        </ext>
      </extLst>
    </cfRule>
  </conditionalFormatting>
  <pageMargins left="0.75" right="0.75" top="1" bottom="1" header="0.5" footer="0.5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7A59E1-DE74-EA4A-A997-E993EB72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41A3-3368-A14F-A7BD-47A977F842B0}">
  <dimension ref="A3:C10"/>
  <sheetViews>
    <sheetView workbookViewId="0">
      <selection activeCell="D4" sqref="D4"/>
    </sheetView>
  </sheetViews>
  <sheetFormatPr baseColWidth="10" defaultRowHeight="15" x14ac:dyDescent="0.2"/>
  <cols>
    <col min="1" max="1" width="12.1640625" bestFit="1" customWidth="1"/>
    <col min="2" max="2" width="19" bestFit="1" customWidth="1"/>
  </cols>
  <sheetData>
    <row r="3" spans="1:3" x14ac:dyDescent="0.2">
      <c r="A3" s="5" t="s">
        <v>33</v>
      </c>
      <c r="B3" t="s">
        <v>35</v>
      </c>
      <c r="C3" t="s">
        <v>36</v>
      </c>
    </row>
    <row r="4" spans="1:3" x14ac:dyDescent="0.2">
      <c r="A4" s="6" t="s">
        <v>6</v>
      </c>
      <c r="B4" s="3">
        <v>14691.25</v>
      </c>
      <c r="C4" s="7">
        <f>B4/$B$10</f>
        <v>0.4367641473604254</v>
      </c>
    </row>
    <row r="5" spans="1:3" x14ac:dyDescent="0.2">
      <c r="A5" s="6" t="s">
        <v>8</v>
      </c>
      <c r="B5" s="3">
        <v>6413.05</v>
      </c>
      <c r="C5" s="7">
        <f t="shared" ref="C5:C10" si="0">B5/$B$10</f>
        <v>0.1906570451955944</v>
      </c>
    </row>
    <row r="6" spans="1:3" x14ac:dyDescent="0.2">
      <c r="A6" s="6" t="s">
        <v>14</v>
      </c>
      <c r="B6" s="3">
        <v>6132</v>
      </c>
      <c r="C6" s="7">
        <f t="shared" si="0"/>
        <v>0.18230155715913407</v>
      </c>
    </row>
    <row r="7" spans="1:3" x14ac:dyDescent="0.2">
      <c r="A7" s="6" t="s">
        <v>16</v>
      </c>
      <c r="B7" s="3">
        <v>4905.6000000000004</v>
      </c>
      <c r="C7" s="7">
        <f t="shared" si="0"/>
        <v>0.14584124572730728</v>
      </c>
    </row>
    <row r="8" spans="1:3" x14ac:dyDescent="0.2">
      <c r="A8" s="6" t="s">
        <v>10</v>
      </c>
      <c r="B8" s="3">
        <v>983.67499999999973</v>
      </c>
      <c r="C8" s="7">
        <f t="shared" si="0"/>
        <v>2.9244208127611086E-2</v>
      </c>
    </row>
    <row r="9" spans="1:3" x14ac:dyDescent="0.2">
      <c r="A9" s="6" t="s">
        <v>12</v>
      </c>
      <c r="B9" s="3">
        <v>510.99999999999994</v>
      </c>
      <c r="C9" s="7">
        <f t="shared" si="0"/>
        <v>1.5191796429927839E-2</v>
      </c>
    </row>
    <row r="10" spans="1:3" x14ac:dyDescent="0.2">
      <c r="A10" s="6" t="s">
        <v>34</v>
      </c>
      <c r="B10" s="3">
        <v>33636.574999999997</v>
      </c>
      <c r="C10" s="7">
        <f t="shared" si="0"/>
        <v>1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13A1-4B26-2846-B642-01AD49820B20}">
  <dimension ref="A1:E4"/>
  <sheetViews>
    <sheetView tabSelected="1" zoomScaleNormal="100" workbookViewId="0">
      <selection activeCell="H11" sqref="H11"/>
    </sheetView>
  </sheetViews>
  <sheetFormatPr baseColWidth="10" defaultRowHeight="15" x14ac:dyDescent="0.2"/>
  <cols>
    <col min="1" max="1" width="61.83203125" bestFit="1" customWidth="1"/>
    <col min="2" max="2" width="18" bestFit="1" customWidth="1"/>
    <col min="3" max="3" width="20.1640625" bestFit="1" customWidth="1"/>
    <col min="4" max="4" width="17.83203125" bestFit="1" customWidth="1"/>
    <col min="5" max="5" width="19.6640625" bestFit="1" customWidth="1"/>
  </cols>
  <sheetData>
    <row r="1" spans="1:5" s="12" customFormat="1" ht="26" x14ac:dyDescent="0.3">
      <c r="A1" s="12" t="s">
        <v>38</v>
      </c>
    </row>
    <row r="3" spans="1:5" x14ac:dyDescent="0.2">
      <c r="A3" s="10" t="s">
        <v>39</v>
      </c>
      <c r="B3" s="10" t="s">
        <v>30</v>
      </c>
      <c r="C3" s="10" t="s">
        <v>40</v>
      </c>
      <c r="D3" s="10" t="s">
        <v>41</v>
      </c>
      <c r="E3" s="10" t="s">
        <v>42</v>
      </c>
    </row>
    <row r="4" spans="1:5" ht="24" x14ac:dyDescent="0.3">
      <c r="A4" s="11">
        <f>SUM(machines!G2:G11)</f>
        <v>33636.574999999997</v>
      </c>
      <c r="B4" s="8">
        <f>COUNTIF(machines!H2:H11, "Overheating")</f>
        <v>3</v>
      </c>
      <c r="C4" s="9">
        <f>SUMIF(machines!H2:H11, "Overheating", machines!G2:G11)/A4</f>
        <v>0.46486897075579187</v>
      </c>
      <c r="D4" s="11">
        <f>SUM(machines!J2:J11)</f>
        <v>3490</v>
      </c>
      <c r="E4" s="8">
        <f>COUNTIF(machines!J2:J11,0)</f>
        <v>4</v>
      </c>
    </row>
  </sheetData>
  <mergeCells count="1">
    <mergeCell ref="A1:XF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</vt:lpstr>
      <vt:lpstr>pivot sheet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Anil Ramtekkar</cp:lastModifiedBy>
  <dcterms:created xsi:type="dcterms:W3CDTF">2026-10-11T11:31:08Z</dcterms:created>
  <dcterms:modified xsi:type="dcterms:W3CDTF">2026-10-15T19:00:55Z</dcterms:modified>
</cp:coreProperties>
</file>